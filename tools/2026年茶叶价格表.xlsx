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发货价格\"/>
    </mc:Choice>
  </mc:AlternateContent>
  <bookViews>
    <workbookView windowWidth="24750" windowHeight="12080"/>
  </bookViews>
  <sheets>
    <sheet name="茶叶价格表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<sst xmlns="http://schemas.openxmlformats.org/spreadsheetml/2006/main" count="110" uniqueCount="66">
  <si>
    <t>2026年茶叶价格一览表</t>
  </si>
  <si>
    <t>编号</t>
  </si>
  <si>
    <t>厂名</t>
  </si>
  <si>
    <t>产地</t>
  </si>
  <si>
    <t>单位</t>
  </si>
  <si>
    <t>2026年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</si>
  <si>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</si>
  <si>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</si>
  <si>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</si>
  <si>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</si>
  <si>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</si>
  <si>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</si>
  <si>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</si>
  <si>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</si>
  <si>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</si>
  <si>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</si>
  <si>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</si>
  <si>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</si>
  <si>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把边茶厂</t>
  </si>
  <si>
    <t>一村,苗寨，木文（春）</t>
  </si>
  <si>
    <t>kg</t>
  </si>
  <si>
    <t>一村,苗寨，木文（夏）</t>
  </si>
  <si>
    <t>一村,苗寨，木文（秋）</t>
  </si>
  <si>
    <t>二村,把边（春）</t>
  </si>
  <si>
    <t>二村,把边（夏）</t>
  </si>
  <si>
    <t>二村,把边（秋）</t>
  </si>
  <si>
    <t>外村，外二村，将来，江浦（春）</t>
  </si>
  <si>
    <t>外村，外二村，将来，江浦（夏）</t>
  </si>
  <si>
    <t>外村，外二村，将来，江浦（秋）</t>
  </si>
  <si>
    <t>紫芽村（春）</t>
  </si>
  <si>
    <t>紫芽村（夏）</t>
  </si>
  <si>
    <t>紫芽村（秋）</t>
  </si>
  <si>
    <t>厂区紫芽（春）</t>
  </si>
  <si>
    <t>厂区紫芽（夏）</t>
  </si>
  <si>
    <t>厂区紫芽（秋）</t>
  </si>
  <si>
    <t>白霜茶</t>
  </si>
  <si>
    <t>勐门茶厂</t>
  </si>
  <si>
    <t>山春茶，大班寨</t>
  </si>
  <si>
    <t>会塔(春)</t>
  </si>
  <si>
    <t>会塔(夏)</t>
  </si>
  <si>
    <t>会塔(秋)</t>
  </si>
  <si>
    <t>巴多里(春)</t>
  </si>
  <si>
    <t>巴多里(夏)</t>
  </si>
  <si>
    <t>巴多里(秋)</t>
  </si>
  <si>
    <t>普家乐，勐蒙，班多(春)</t>
  </si>
  <si>
    <t>普家乐，勐蒙，班多(夏)</t>
  </si>
  <si>
    <t>普家乐，勐蒙，班多(秋)</t>
  </si>
  <si>
    <t>虎帕，南普乐(春)</t>
  </si>
  <si>
    <t>虎帕，南普乐(夏)</t>
  </si>
  <si>
    <t>虎帕，南普乐(秋)</t>
  </si>
  <si>
    <t>虎南卡(春)</t>
  </si>
  <si>
    <t>虎南卡(夏)</t>
  </si>
  <si>
    <t>虎南卡(秋)</t>
  </si>
  <si>
    <t>普思旺(春)</t>
  </si>
  <si>
    <t>普思旺(夏)</t>
  </si>
  <si>
    <t>普思旺(秋)</t>
  </si>
  <si>
    <t>潘安(春)</t>
  </si>
  <si>
    <t>潘安(夏)</t>
  </si>
  <si>
    <t>潘安(秋)</t>
  </si>
  <si>
    <t>回窝(春)</t>
  </si>
  <si>
    <t>回窝(夏)</t>
  </si>
  <si>
    <t>回窝(秋)</t>
  </si>
  <si>
    <t>模勒(春)</t>
  </si>
  <si>
    <t>模勒(夏)</t>
  </si>
  <si>
    <t>模勒(秋)</t>
  </si>
  <si>
    <t>外外村，班易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</si>
</sst>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);[Red]\(#,##0\)"/>
  </numFmts>
  <fonts count="25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0" fillId="0" borderId="0" xfId="0" applyFont="1">
      <alignment vertical="center"/>
    </xf>
    <xf numFmtId="176" fontId="0" fillId="0" borderId="1" xfId="0" applyNumberFormat="1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ill="1" applyBorder="1" applyAlignment="1">
      <alignment vertical="center"/>
    </xf>
    <xf numFmtId="176" fontId="0" fillId="0" borderId="0" xfId="0" applyNumberFormat="1" applyBorder="1">
      <alignment vertical="center"/>
    </xf>
    <xf numFmtId="0" fontId="0" fillId="0" borderId="2" xfId="0" applyBorder="1">
      <alignment vertical="center"/>
    </xf>
    <xf numFmtId="176" fontId="5" fillId="0" borderId="1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2"/>
  <sheetViews>
    <sheetView tabSelected="1" workbookViewId="0">
      <pane ySplit="3" topLeftCell="A4" activePane="bottomLeft" state="frozen"/>
      <selection/>
      <selection pane="bottomLeft" activeCell="A2" sqref="A2:A3"/>
    </sheetView>
  </sheetViews>
  <sheetFormatPr defaultColWidth="9" defaultRowHeight="16" customHeight="1"/>
  <cols>
    <col min="1" max="2" width="4.09090909090909" style="1" customWidth="1"/>
    <col min="3" max="3" width="36.9090909090909" style="2" customWidth="1"/>
    <col min="4" max="4" width="4.54545454545455" style="3" customWidth="1"/>
    <col min="5" max="15" width="8.63636363636364" style="4" customWidth="1"/>
    <col min="16" max="16" width="9" style="2"/>
    <col min="17" max="17" width="9" style="5"/>
  </cols>
  <sheetData>
    <row r="1" ht="38" customHeight="1" spans="1:18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ht="25" customHeight="1" spans="1:18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</row>
    <row r="3" ht="25" customHeight="1" spans="1:18">
      <c r="A3" s="7"/>
      <c r="B3" s="7"/>
      <c r="C3" s="7"/>
      <c r="D3" s="7"/>
      <c r="E3" s="9">
        <v>960</v>
      </c>
      <c r="F3" s="9">
        <f t="shared" ref="F3:Q3" si="0">E3*1.1</f>
        <v>1056</v>
      </c>
      <c r="G3" s="9">
        <f t="shared" si="0"/>
        <v>1161.6</v>
      </c>
      <c r="H3" s="9">
        <f t="shared" si="0"/>
        <v>1277.76</v>
      </c>
      <c r="I3" s="9">
        <f t="shared" si="0"/>
        <v>1405.536</v>
      </c>
      <c r="J3" s="9">
        <f t="shared" si="0"/>
        <v>1546.0896</v>
      </c>
      <c r="K3" s="9">
        <f t="shared" si="0"/>
        <v>1700.69856</v>
      </c>
      <c r="L3" s="9">
        <f t="shared" si="0"/>
        <v>1870.768416</v>
      </c>
      <c r="M3" s="9">
        <f t="shared" si="0"/>
        <v>2057.8452576</v>
      </c>
      <c r="N3" s="9">
        <f t="shared" si="0"/>
        <v>2263.62978336</v>
      </c>
      <c r="O3" s="9">
        <f t="shared" si="0"/>
        <v>2489.992761696</v>
      </c>
      <c r="P3" s="9">
        <f t="shared" si="0"/>
        <v>2738.9920378656</v>
      </c>
      <c r="Q3" s="9">
        <f t="shared" si="0"/>
        <v>3012.89124165216</v>
      </c>
    </row>
    <row r="4" ht="25" customHeight="1" spans="1:18">
      <c r="A4" s="1">
        <v>1</v>
      </c>
      <c r="B4" s="7" t="s">
        <v>18</v>
      </c>
      <c r="C4" s="2" t="s">
        <v>19</v>
      </c>
      <c r="D4" s="3" t="s">
        <v>20</v>
      </c>
      <c r="E4" s="4">
        <f>E3*1.2</f>
        <v>1152</v>
      </c>
      <c r="F4" s="10">
        <f t="shared" ref="F4:M18" si="1">E4*1.1</f>
        <v>1267.2</v>
      </c>
      <c r="G4" s="10">
        <f t="shared" si="1"/>
        <v>1393.92</v>
      </c>
      <c r="H4" s="10">
        <f t="shared" si="1"/>
        <v>1533.312</v>
      </c>
      <c r="I4" s="10">
        <f t="shared" si="1"/>
        <v>1686.6432</v>
      </c>
      <c r="J4" s="10">
        <f t="shared" si="1"/>
        <v>1855.30752</v>
      </c>
      <c r="K4" s="10">
        <f t="shared" si="1"/>
        <v>2040.838272</v>
      </c>
      <c r="L4" s="10">
        <f t="shared" si="1"/>
        <v>2244.9220992</v>
      </c>
      <c r="M4" s="10">
        <f t="shared" si="1"/>
        <v>2469.41430912</v>
      </c>
      <c r="N4" s="10">
        <f t="shared" ref="N4:N18" si="2">M4*1.1</f>
        <v>2716.355740032</v>
      </c>
      <c r="O4" s="10">
        <f>N4*1.1</f>
        <v>2987.9913140352</v>
      </c>
      <c r="P4" s="10">
        <f t="shared" ref="P4:P19" si="3">O4*1.1</f>
        <v>3286.79044543872</v>
      </c>
      <c r="Q4" s="10">
        <f t="shared" ref="Q4:Q49" si="4">P4*1.1</f>
        <v>3615.46948998259</v>
      </c>
      <c r="R4" s="11"/>
    </row>
    <row r="5" ht="25" customHeight="1" spans="1:18">
      <c r="A5" s="1">
        <v>2</v>
      </c>
      <c r="B5" s="7"/>
      <c r="C5" s="2" t="s">
        <v>21</v>
      </c>
      <c r="D5" s="3" t="s">
        <v>20</v>
      </c>
      <c r="E5" s="4">
        <f>E4*0.7</f>
        <v>806.4</v>
      </c>
      <c r="F5" s="10">
        <f t="shared" si="1"/>
        <v>887.04</v>
      </c>
      <c r="G5" s="10">
        <f t="shared" si="1"/>
        <v>975.744</v>
      </c>
      <c r="H5" s="10">
        <f t="shared" si="1"/>
        <v>1073.3184</v>
      </c>
      <c r="I5" s="10">
        <f t="shared" si="1"/>
        <v>1180.65024</v>
      </c>
      <c r="J5" s="10">
        <f t="shared" si="1"/>
        <v>1298.715264</v>
      </c>
      <c r="K5" s="10">
        <f t="shared" si="1"/>
        <v>1428.5867904</v>
      </c>
      <c r="L5" s="10">
        <f t="shared" si="1"/>
        <v>1571.44546944</v>
      </c>
      <c r="M5" s="10">
        <f t="shared" si="1"/>
        <v>1728.590016384</v>
      </c>
      <c r="N5" s="10">
        <f t="shared" si="2"/>
        <v>1901.4490180224</v>
      </c>
      <c r="O5" s="10">
        <f>N5*1.1</f>
        <v>2091.59391982464</v>
      </c>
      <c r="P5" s="10">
        <f t="shared" si="3"/>
        <v>2300.75331180711</v>
      </c>
      <c r="Q5" s="10">
        <f t="shared" si="4"/>
        <v>2530.82864298782</v>
      </c>
      <c r="R5" s="11"/>
    </row>
    <row r="6" ht="25" customHeight="1" spans="1:18">
      <c r="A6" s="1">
        <v>3</v>
      </c>
      <c r="B6" s="7"/>
      <c r="C6" s="2" t="s">
        <v>22</v>
      </c>
      <c r="D6" s="3" t="s">
        <v>20</v>
      </c>
      <c r="E6" s="4">
        <f>E4*0.85</f>
        <v>979.2</v>
      </c>
      <c r="F6" s="10">
        <f t="shared" si="1"/>
        <v>1077.12</v>
      </c>
      <c r="G6" s="10">
        <f t="shared" si="1"/>
        <v>1184.832</v>
      </c>
      <c r="H6" s="10">
        <f t="shared" si="1"/>
        <v>1303.3152</v>
      </c>
      <c r="I6" s="10">
        <f t="shared" si="1"/>
        <v>1433.64672</v>
      </c>
      <c r="J6" s="10">
        <f t="shared" si="1"/>
        <v>1577.011392</v>
      </c>
      <c r="K6" s="10">
        <f t="shared" si="1"/>
        <v>1734.7125312</v>
      </c>
      <c r="L6" s="10">
        <f t="shared" si="1"/>
        <v>1908.18378432</v>
      </c>
      <c r="M6" s="10">
        <f t="shared" si="1"/>
        <v>2099.002162752</v>
      </c>
      <c r="N6" s="10">
        <f t="shared" si="2"/>
        <v>2308.9023790272</v>
      </c>
      <c r="O6" s="10">
        <f t="shared" ref="O6:O19" si="5">N6*1.1</f>
        <v>2539.79261692992</v>
      </c>
      <c r="P6" s="10">
        <f t="shared" si="3"/>
        <v>2793.77187862291</v>
      </c>
      <c r="Q6" s="10">
        <f t="shared" si="4"/>
        <v>3073.14906648521</v>
      </c>
      <c r="R6" s="11"/>
    </row>
    <row r="7" ht="25" customHeight="1" spans="1:18">
      <c r="A7" s="1">
        <v>4</v>
      </c>
      <c r="B7" s="7"/>
      <c r="C7" s="2" t="s">
        <v>23</v>
      </c>
      <c r="D7" s="3" t="s">
        <v>20</v>
      </c>
      <c r="E7" s="4">
        <f>E3*0.8</f>
        <v>768</v>
      </c>
      <c r="F7" s="10">
        <f t="shared" si="1"/>
        <v>844.8</v>
      </c>
      <c r="G7" s="10">
        <f t="shared" si="1"/>
        <v>929.28</v>
      </c>
      <c r="H7" s="10">
        <f t="shared" si="1"/>
        <v>1022.208</v>
      </c>
      <c r="I7" s="10">
        <f t="shared" si="1"/>
        <v>1124.4288</v>
      </c>
      <c r="J7" s="10">
        <f t="shared" si="1"/>
        <v>1236.87168</v>
      </c>
      <c r="K7" s="10">
        <f t="shared" si="1"/>
        <v>1360.558848</v>
      </c>
      <c r="L7" s="10">
        <f t="shared" si="1"/>
        <v>1496.6147328</v>
      </c>
      <c r="M7" s="10">
        <f t="shared" si="1"/>
        <v>1646.27620608</v>
      </c>
      <c r="N7" s="10">
        <f t="shared" si="2"/>
        <v>1810.903826688</v>
      </c>
      <c r="O7" s="10">
        <f t="shared" si="5"/>
        <v>1991.9942093568</v>
      </c>
      <c r="P7" s="10">
        <f t="shared" si="3"/>
        <v>2191.19363029248</v>
      </c>
      <c r="Q7" s="10">
        <f t="shared" si="4"/>
        <v>2410.31299332173</v>
      </c>
      <c r="R7" s="11"/>
    </row>
    <row r="8" ht="25" customHeight="1" spans="1:18">
      <c r="A8" s="1">
        <v>5</v>
      </c>
      <c r="B8" s="7"/>
      <c r="C8" s="2" t="s">
        <v>24</v>
      </c>
      <c r="D8" s="3" t="s">
        <v>20</v>
      </c>
      <c r="E8" s="4">
        <f>E7*0.7</f>
        <v>537.6</v>
      </c>
      <c r="F8" s="10">
        <f t="shared" si="1"/>
        <v>591.36</v>
      </c>
      <c r="G8" s="10">
        <f t="shared" si="1"/>
        <v>650.496</v>
      </c>
      <c r="H8" s="10">
        <f t="shared" si="1"/>
        <v>715.5456</v>
      </c>
      <c r="I8" s="10">
        <f t="shared" si="1"/>
        <v>787.10016</v>
      </c>
      <c r="J8" s="10">
        <f>I8*1.1</f>
        <v>865.810176</v>
      </c>
      <c r="K8" s="10">
        <f t="shared" si="1"/>
        <v>952.3911936</v>
      </c>
      <c r="L8" s="10">
        <f t="shared" si="1"/>
        <v>1047.63031296</v>
      </c>
      <c r="M8" s="10">
        <f t="shared" si="1"/>
        <v>1152.393344256</v>
      </c>
      <c r="N8" s="10">
        <f t="shared" si="2"/>
        <v>1267.6326786816</v>
      </c>
      <c r="O8" s="10">
        <f t="shared" si="5"/>
        <v>1394.39594654976</v>
      </c>
      <c r="P8" s="10">
        <f t="shared" si="3"/>
        <v>1533.83554120474</v>
      </c>
      <c r="Q8" s="10">
        <f t="shared" si="4"/>
        <v>1687.21909532521</v>
      </c>
      <c r="R8" s="11"/>
    </row>
    <row r="9" ht="25" customHeight="1" spans="1:18">
      <c r="A9" s="1">
        <v>6</v>
      </c>
      <c r="B9" s="7"/>
      <c r="C9" s="2" t="s">
        <v>25</v>
      </c>
      <c r="D9" s="3" t="s">
        <v>20</v>
      </c>
      <c r="E9" s="12">
        <f>E7*0.85</f>
        <v>652.8</v>
      </c>
      <c r="F9" s="10">
        <f t="shared" si="1"/>
        <v>718.08</v>
      </c>
      <c r="G9" s="10">
        <f t="shared" si="1"/>
        <v>789.888</v>
      </c>
      <c r="H9" s="10">
        <f t="shared" si="1"/>
        <v>868.8768</v>
      </c>
      <c r="I9" s="10">
        <f t="shared" si="1"/>
        <v>955.76448</v>
      </c>
      <c r="J9" s="10">
        <f t="shared" si="1"/>
        <v>1051.340928</v>
      </c>
      <c r="K9" s="10">
        <f t="shared" si="1"/>
        <v>1156.4750208</v>
      </c>
      <c r="L9" s="10">
        <f t="shared" si="1"/>
        <v>1272.12252288</v>
      </c>
      <c r="M9" s="10">
        <f t="shared" si="1"/>
        <v>1399.334775168</v>
      </c>
      <c r="N9" s="10">
        <f t="shared" si="2"/>
        <v>1539.2682526848</v>
      </c>
      <c r="O9" s="10">
        <f t="shared" si="5"/>
        <v>1693.19507795328</v>
      </c>
      <c r="P9" s="10">
        <f t="shared" si="3"/>
        <v>1862.51458574861</v>
      </c>
      <c r="Q9" s="10">
        <f t="shared" si="4"/>
        <v>2048.76604432347</v>
      </c>
      <c r="R9" s="11"/>
    </row>
    <row r="10" ht="25" customHeight="1" spans="1:18">
      <c r="A10" s="1">
        <v>7</v>
      </c>
      <c r="B10" s="7"/>
      <c r="C10" s="2" t="s">
        <v>26</v>
      </c>
      <c r="D10" s="3" t="s">
        <v>20</v>
      </c>
      <c r="E10" s="12">
        <f>E3*1.35</f>
        <v>1296</v>
      </c>
      <c r="F10" s="10">
        <f t="shared" si="1"/>
        <v>1425.6</v>
      </c>
      <c r="G10" s="10">
        <f t="shared" si="1"/>
        <v>1568.16</v>
      </c>
      <c r="H10" s="10">
        <f t="shared" si="1"/>
        <v>1724.976</v>
      </c>
      <c r="I10" s="10">
        <f t="shared" si="1"/>
        <v>1897.4736</v>
      </c>
      <c r="J10" s="10">
        <f t="shared" si="1"/>
        <v>2087.22096</v>
      </c>
      <c r="K10" s="10">
        <f t="shared" si="1"/>
        <v>2295.943056</v>
      </c>
      <c r="L10" s="10">
        <f t="shared" si="1"/>
        <v>2525.5373616</v>
      </c>
      <c r="M10" s="10">
        <f t="shared" si="1"/>
        <v>2778.09109776</v>
      </c>
      <c r="N10" s="10">
        <f t="shared" si="2"/>
        <v>3055.900207536</v>
      </c>
      <c r="O10" s="10">
        <f t="shared" si="5"/>
        <v>3361.4902282896</v>
      </c>
      <c r="P10" s="10">
        <f t="shared" si="3"/>
        <v>3697.63925111856</v>
      </c>
      <c r="Q10" s="10">
        <f t="shared" si="4"/>
        <v>4067.40317623042</v>
      </c>
      <c r="R10" s="11"/>
    </row>
    <row r="11" ht="25" customHeight="1" spans="1:18">
      <c r="A11" s="1">
        <v>8</v>
      </c>
      <c r="B11" s="7"/>
      <c r="C11" s="2" t="s">
        <v>27</v>
      </c>
      <c r="D11" s="3" t="s">
        <v>20</v>
      </c>
      <c r="E11" s="12">
        <f>E10*0.7</f>
        <v>907.2</v>
      </c>
      <c r="F11" s="10">
        <f t="shared" si="1"/>
        <v>997.92</v>
      </c>
      <c r="G11" s="10">
        <f t="shared" si="1"/>
        <v>1097.712</v>
      </c>
      <c r="H11" s="10">
        <f t="shared" si="1"/>
        <v>1207.4832</v>
      </c>
      <c r="I11" s="10">
        <f t="shared" si="1"/>
        <v>1328.23152</v>
      </c>
      <c r="J11" s="10">
        <f t="shared" si="1"/>
        <v>1461.054672</v>
      </c>
      <c r="K11" s="10">
        <f t="shared" si="1"/>
        <v>1607.1601392</v>
      </c>
      <c r="L11" s="10">
        <f>K11*1.1</f>
        <v>1767.87615312</v>
      </c>
      <c r="M11" s="10">
        <f>L11*1.1</f>
        <v>1944.663768432</v>
      </c>
      <c r="N11" s="10">
        <f t="shared" si="2"/>
        <v>2139.1301452752</v>
      </c>
      <c r="O11" s="10">
        <f t="shared" si="5"/>
        <v>2353.04315980272</v>
      </c>
      <c r="P11" s="10">
        <f t="shared" si="3"/>
        <v>2588.34747578299</v>
      </c>
      <c r="Q11" s="10">
        <f t="shared" si="4"/>
        <v>2847.18222336129</v>
      </c>
    </row>
    <row r="12" ht="25" customHeight="1" spans="1:18">
      <c r="A12" s="1">
        <v>9</v>
      </c>
      <c r="B12" s="7"/>
      <c r="C12" s="2" t="s">
        <v>28</v>
      </c>
      <c r="D12" s="3" t="s">
        <v>20</v>
      </c>
      <c r="E12" s="12">
        <f>E10*0.85</f>
        <v>1101.6</v>
      </c>
      <c r="F12" s="10">
        <f t="shared" si="1"/>
        <v>1211.76</v>
      </c>
      <c r="G12" s="10">
        <f t="shared" si="1"/>
        <v>1332.936</v>
      </c>
      <c r="H12" s="10">
        <f t="shared" si="1"/>
        <v>1466.2296</v>
      </c>
      <c r="I12" s="10">
        <f t="shared" si="1"/>
        <v>1612.85256</v>
      </c>
      <c r="J12" s="10">
        <f t="shared" si="1"/>
        <v>1774.137816</v>
      </c>
      <c r="K12" s="10">
        <f t="shared" si="1"/>
        <v>1951.5515976</v>
      </c>
      <c r="L12" s="10">
        <f t="shared" si="1"/>
        <v>2146.70675736</v>
      </c>
      <c r="M12" s="10">
        <f t="shared" si="1"/>
        <v>2361.377433096</v>
      </c>
      <c r="N12" s="10">
        <f t="shared" si="2"/>
        <v>2597.5151764056</v>
      </c>
      <c r="O12" s="10">
        <f t="shared" si="5"/>
        <v>2857.26669404616</v>
      </c>
      <c r="P12" s="10">
        <f t="shared" si="3"/>
        <v>3142.99336345078</v>
      </c>
      <c r="Q12" s="10">
        <f t="shared" si="4"/>
        <v>3457.29269979586</v>
      </c>
    </row>
    <row r="13" ht="25" customHeight="1" spans="1:18">
      <c r="A13" s="1">
        <v>10</v>
      </c>
      <c r="B13" s="7"/>
      <c r="C13" s="2" t="s">
        <v>29</v>
      </c>
      <c r="D13" s="3" t="s">
        <v>20</v>
      </c>
      <c r="E13" s="12">
        <f>E3*1.3</f>
        <v>1248</v>
      </c>
      <c r="F13" s="10">
        <f t="shared" si="1"/>
        <v>1372.8</v>
      </c>
      <c r="G13" s="10">
        <f t="shared" si="1"/>
        <v>1510.08</v>
      </c>
      <c r="H13" s="10">
        <f t="shared" si="1"/>
        <v>1661.088</v>
      </c>
      <c r="I13" s="10">
        <f t="shared" si="1"/>
        <v>1827.1968</v>
      </c>
      <c r="J13" s="10">
        <f t="shared" si="1"/>
        <v>2009.91648</v>
      </c>
      <c r="K13" s="10">
        <f t="shared" si="1"/>
        <v>2210.908128</v>
      </c>
      <c r="L13" s="10">
        <f t="shared" si="1"/>
        <v>2431.9989408</v>
      </c>
      <c r="M13" s="10">
        <f t="shared" si="1"/>
        <v>2675.19883488</v>
      </c>
      <c r="N13" s="10">
        <f t="shared" si="2"/>
        <v>2942.718718368</v>
      </c>
      <c r="O13" s="10">
        <f t="shared" si="5"/>
        <v>3236.9905902048</v>
      </c>
      <c r="P13" s="10">
        <f t="shared" si="3"/>
        <v>3560.68964922528</v>
      </c>
      <c r="Q13" s="10">
        <f t="shared" si="4"/>
        <v>3916.75861414781</v>
      </c>
    </row>
    <row r="14" ht="25" customHeight="1" spans="1:18">
      <c r="A14" s="1">
        <v>11</v>
      </c>
      <c r="B14" s="7"/>
      <c r="C14" s="2" t="s">
        <v>30</v>
      </c>
      <c r="D14" s="3" t="s">
        <v>20</v>
      </c>
      <c r="E14" s="12">
        <f>E13*0.7</f>
        <v>873.6</v>
      </c>
      <c r="F14" s="10">
        <f t="shared" si="1"/>
        <v>960.96</v>
      </c>
      <c r="G14" s="10">
        <f t="shared" si="1"/>
        <v>1057.056</v>
      </c>
      <c r="H14" s="10">
        <f t="shared" si="1"/>
        <v>1162.7616</v>
      </c>
      <c r="I14" s="10">
        <f t="shared" si="1"/>
        <v>1279.03776</v>
      </c>
      <c r="J14" s="10">
        <f t="shared" si="1"/>
        <v>1406.941536</v>
      </c>
      <c r="K14" s="10">
        <f t="shared" si="1"/>
        <v>1547.6356896</v>
      </c>
      <c r="L14" s="10">
        <f t="shared" si="1"/>
        <v>1702.39925856</v>
      </c>
      <c r="M14" s="10">
        <f t="shared" si="1"/>
        <v>1872.639184416</v>
      </c>
      <c r="N14" s="10">
        <f t="shared" si="2"/>
        <v>2059.9031028576</v>
      </c>
      <c r="O14" s="10">
        <f t="shared" si="5"/>
        <v>2265.89341314336</v>
      </c>
      <c r="P14" s="10">
        <f t="shared" si="3"/>
        <v>2492.4827544577</v>
      </c>
      <c r="Q14" s="10">
        <f t="shared" si="4"/>
        <v>2741.73102990347</v>
      </c>
    </row>
    <row r="15" ht="25" customHeight="1" spans="1:18">
      <c r="A15" s="1">
        <v>12</v>
      </c>
      <c r="B15" s="7"/>
      <c r="C15" s="2" t="s">
        <v>31</v>
      </c>
      <c r="D15" s="3" t="s">
        <v>20</v>
      </c>
      <c r="E15" s="12">
        <f>E13*0.85</f>
        <v>1060.8</v>
      </c>
      <c r="F15" s="10">
        <f t="shared" si="1"/>
        <v>1166.88</v>
      </c>
      <c r="G15" s="10">
        <f t="shared" si="1"/>
        <v>1283.568</v>
      </c>
      <c r="H15" s="10">
        <f t="shared" si="1"/>
        <v>1411.9248</v>
      </c>
      <c r="I15" s="10">
        <f t="shared" si="1"/>
        <v>1553.11728</v>
      </c>
      <c r="J15" s="10">
        <f t="shared" si="1"/>
        <v>1708.429008</v>
      </c>
      <c r="K15" s="10">
        <f t="shared" si="1"/>
        <v>1879.2719088</v>
      </c>
      <c r="L15" s="10">
        <f t="shared" si="1"/>
        <v>2067.19909968</v>
      </c>
      <c r="M15" s="10">
        <f t="shared" si="1"/>
        <v>2273.919009648</v>
      </c>
      <c r="N15" s="10">
        <f t="shared" si="2"/>
        <v>2501.3109106128</v>
      </c>
      <c r="O15" s="10">
        <f t="shared" si="5"/>
        <v>2751.44200167408</v>
      </c>
      <c r="P15" s="10">
        <f t="shared" si="3"/>
        <v>3026.58620184149</v>
      </c>
      <c r="Q15" s="10">
        <f t="shared" si="4"/>
        <v>3329.24482202564</v>
      </c>
    </row>
    <row r="16" ht="25" customHeight="1" spans="1:18">
      <c r="A16" s="1">
        <v>13</v>
      </c>
      <c r="B16" s="7"/>
      <c r="C16" s="2" t="s">
        <v>32</v>
      </c>
      <c r="D16" s="3" t="s">
        <v>20</v>
      </c>
      <c r="E16" s="12">
        <f>E3*1.4</f>
        <v>1344</v>
      </c>
      <c r="F16" s="10">
        <f t="shared" si="1"/>
        <v>1478.4</v>
      </c>
      <c r="G16" s="10">
        <f t="shared" si="1"/>
        <v>1626.24</v>
      </c>
      <c r="H16" s="10">
        <f t="shared" si="1"/>
        <v>1788.864</v>
      </c>
      <c r="I16" s="10">
        <f t="shared" si="1"/>
        <v>1967.7504</v>
      </c>
      <c r="J16" s="10">
        <f t="shared" si="1"/>
        <v>2164.52544</v>
      </c>
      <c r="K16" s="10">
        <f t="shared" si="1"/>
        <v>2380.977984</v>
      </c>
      <c r="L16" s="10">
        <f t="shared" si="1"/>
        <v>2619.0757824</v>
      </c>
      <c r="M16" s="10">
        <f t="shared" si="1"/>
        <v>2880.98336064</v>
      </c>
      <c r="N16" s="10">
        <f t="shared" si="2"/>
        <v>3169.081696704</v>
      </c>
      <c r="O16" s="10">
        <f t="shared" si="5"/>
        <v>3485.9898663744</v>
      </c>
      <c r="P16" s="10">
        <f t="shared" si="3"/>
        <v>3834.58885301184</v>
      </c>
      <c r="Q16" s="10">
        <f t="shared" si="4"/>
        <v>4218.04773831303</v>
      </c>
    </row>
    <row r="17" ht="25" customHeight="1" spans="1:17">
      <c r="A17" s="1">
        <v>14</v>
      </c>
      <c r="B17" s="7"/>
      <c r="C17" s="2" t="s">
        <v>33</v>
      </c>
      <c r="D17" s="3" t="s">
        <v>20</v>
      </c>
      <c r="E17" s="12">
        <f>E16*0.7</f>
        <v>940.8</v>
      </c>
      <c r="F17" s="10">
        <f t="shared" si="1"/>
        <v>1034.88</v>
      </c>
      <c r="G17" s="10">
        <f t="shared" si="1"/>
        <v>1138.368</v>
      </c>
      <c r="H17" s="10">
        <f t="shared" si="1"/>
        <v>1252.2048</v>
      </c>
      <c r="I17" s="10">
        <f t="shared" si="1"/>
        <v>1377.42528</v>
      </c>
      <c r="J17" s="10">
        <f t="shared" si="1"/>
        <v>1515.167808</v>
      </c>
      <c r="K17" s="10">
        <f t="shared" si="1"/>
        <v>1666.6845888</v>
      </c>
      <c r="L17" s="10">
        <f t="shared" si="1"/>
        <v>1833.35304768</v>
      </c>
      <c r="M17" s="10">
        <f t="shared" si="1"/>
        <v>2016.688352448</v>
      </c>
      <c r="N17" s="10">
        <f t="shared" si="2"/>
        <v>2218.3571876928</v>
      </c>
      <c r="O17" s="10">
        <f t="shared" si="5"/>
        <v>2440.19290646208</v>
      </c>
      <c r="P17" s="10">
        <f t="shared" si="3"/>
        <v>2684.21219710829</v>
      </c>
      <c r="Q17" s="10">
        <f t="shared" si="4"/>
        <v>2952.63341681912</v>
      </c>
    </row>
    <row r="18" ht="25" customHeight="1" spans="1:17">
      <c r="A18" s="1">
        <v>15</v>
      </c>
      <c r="B18" s="7"/>
      <c r="C18" s="2" t="s">
        <v>34</v>
      </c>
      <c r="D18" s="3" t="s">
        <v>20</v>
      </c>
      <c r="E18" s="12">
        <f>E16*0.85</f>
        <v>1142.4</v>
      </c>
      <c r="F18" s="10">
        <f t="shared" si="1"/>
        <v>1256.64</v>
      </c>
      <c r="G18" s="10">
        <f t="shared" si="1"/>
        <v>1382.304</v>
      </c>
      <c r="H18" s="10">
        <f t="shared" si="1"/>
        <v>1520.5344</v>
      </c>
      <c r="I18" s="10">
        <f>H18*1.1</f>
        <v>1672.58784</v>
      </c>
      <c r="J18" s="10">
        <f>I18*1.1</f>
        <v>1839.846624</v>
      </c>
      <c r="K18" s="10">
        <f t="shared" si="1"/>
        <v>2023.8312864</v>
      </c>
      <c r="L18" s="10">
        <f t="shared" si="1"/>
        <v>2226.21441504</v>
      </c>
      <c r="M18" s="10">
        <f t="shared" si="1"/>
        <v>2448.835856544</v>
      </c>
      <c r="N18" s="10">
        <f t="shared" si="2"/>
        <v>2693.7194421984</v>
      </c>
      <c r="O18" s="10">
        <f t="shared" si="5"/>
        <v>2963.09138641824</v>
      </c>
      <c r="P18" s="10">
        <f t="shared" si="3"/>
        <v>3259.40052506007</v>
      </c>
      <c r="Q18" s="10">
        <f t="shared" si="4"/>
        <v>3585.34057756607</v>
      </c>
    </row>
    <row r="19" ht="25" customHeight="1" spans="1:17">
      <c r="A19" s="1">
        <v>16</v>
      </c>
      <c r="B19" s="7"/>
      <c r="C19" s="2" t="s">
        <v>35</v>
      </c>
      <c r="D19" s="3" t="s">
        <v>20</v>
      </c>
      <c r="E19" s="12"/>
      <c r="F19" s="12"/>
      <c r="G19" s="12"/>
      <c r="H19" s="12">
        <v>3600</v>
      </c>
      <c r="I19" s="10">
        <f>H19*1.1</f>
        <v>3960</v>
      </c>
      <c r="J19" s="10">
        <f t="shared" ref="J19:N34" si="6">I19*1.1</f>
        <v>4356</v>
      </c>
      <c r="K19" s="10">
        <f t="shared" si="6"/>
        <v>4791.6</v>
      </c>
      <c r="L19" s="10">
        <f t="shared" si="6"/>
        <v>5270.76</v>
      </c>
      <c r="M19" s="10">
        <f t="shared" si="6"/>
        <v>5797.836</v>
      </c>
      <c r="N19" s="10">
        <f t="shared" si="6"/>
        <v>6377.6196</v>
      </c>
      <c r="O19" s="10">
        <f t="shared" si="5"/>
        <v>7015.38156</v>
      </c>
      <c r="P19" s="10">
        <f t="shared" si="3"/>
        <v>7716.91971600001</v>
      </c>
      <c r="Q19" s="10">
        <f t="shared" si="4"/>
        <v>8488.61168760001</v>
      </c>
    </row>
    <row r="20" ht="25" customHeight="1" spans="1:17">
      <c r="B20" s="7"/>
      <c r="E20" s="12"/>
      <c r="F20" s="12"/>
      <c r="G20" s="12"/>
      <c r="H20" s="12"/>
      <c r="I20" s="12"/>
      <c r="J20" s="12"/>
      <c r="K20" s="12"/>
      <c r="L20" s="12"/>
      <c r="M20" s="12"/>
      <c r="N20" s="10"/>
      <c r="O20" s="10"/>
      <c r="P20" s="13"/>
      <c r="Q20" s="10"/>
    </row>
    <row r="21" ht="25" customHeight="1" spans="1:17">
      <c r="A21" s="1">
        <v>17</v>
      </c>
      <c r="B21" s="7" t="s">
        <v>36</v>
      </c>
      <c r="C21" s="2" t="s">
        <v>37</v>
      </c>
      <c r="D21" s="3" t="s">
        <v>20</v>
      </c>
      <c r="E21" s="12"/>
      <c r="F21" s="12"/>
      <c r="G21" s="12">
        <v>2500</v>
      </c>
      <c r="H21" s="12">
        <f>G21*1.1</f>
        <v>2750</v>
      </c>
      <c r="I21" s="12">
        <f t="shared" ref="I21:M21" si="7">H21*1.1</f>
        <v>3025</v>
      </c>
      <c r="J21" s="12">
        <f t="shared" si="7"/>
        <v>3327.5</v>
      </c>
      <c r="K21" s="12">
        <f t="shared" si="7"/>
        <v>3660.25</v>
      </c>
      <c r="L21" s="12">
        <f t="shared" si="7"/>
        <v>4026.275</v>
      </c>
      <c r="M21" s="12">
        <f t="shared" si="7"/>
        <v>4428.9025</v>
      </c>
      <c r="N21" s="10">
        <f t="shared" si="6"/>
        <v>4871.79275</v>
      </c>
      <c r="O21" s="10">
        <f t="shared" ref="O20:O33" si="8">N21*1.1</f>
        <v>5358.972025</v>
      </c>
      <c r="P21" s="10">
        <f t="shared" ref="P21:P49" si="9">O21*1.1</f>
        <v>5894.8692275</v>
      </c>
      <c r="Q21" s="10">
        <f t="shared" si="4"/>
        <v>6484.35615025001</v>
      </c>
    </row>
    <row r="22" ht="25" customHeight="1" spans="1:17">
      <c r="A22" s="1">
        <v>18</v>
      </c>
      <c r="B22" s="7"/>
      <c r="C22" s="2" t="s">
        <v>38</v>
      </c>
      <c r="D22" s="3" t="s">
        <v>20</v>
      </c>
      <c r="E22" s="12">
        <v>810</v>
      </c>
      <c r="F22" s="12">
        <f t="shared" ref="F22:F27" si="10">E22*1.1</f>
        <v>891</v>
      </c>
      <c r="G22" s="12">
        <f t="shared" ref="G22:M22" si="11">F22*1.1</f>
        <v>980.1</v>
      </c>
      <c r="H22" s="12">
        <f t="shared" si="11"/>
        <v>1078.11</v>
      </c>
      <c r="I22" s="12">
        <f t="shared" si="11"/>
        <v>1185.921</v>
      </c>
      <c r="J22" s="12">
        <f t="shared" si="11"/>
        <v>1304.5131</v>
      </c>
      <c r="K22" s="12">
        <f t="shared" si="11"/>
        <v>1434.96441</v>
      </c>
      <c r="L22" s="12">
        <f t="shared" si="11"/>
        <v>1578.460851</v>
      </c>
      <c r="M22" s="12">
        <f t="shared" si="11"/>
        <v>1736.3069361</v>
      </c>
      <c r="N22" s="10">
        <f t="shared" si="6"/>
        <v>1909.93762971</v>
      </c>
      <c r="O22" s="10">
        <f t="shared" si="8"/>
        <v>2100.931392681</v>
      </c>
      <c r="P22" s="10">
        <f t="shared" si="9"/>
        <v>2311.0245319491</v>
      </c>
      <c r="Q22" s="10">
        <f t="shared" si="4"/>
        <v>2542.12698514401</v>
      </c>
    </row>
    <row r="23" ht="25" customHeight="1" spans="1:17">
      <c r="A23" s="1">
        <v>19</v>
      </c>
      <c r="B23" s="7"/>
      <c r="C23" s="2" t="s">
        <v>39</v>
      </c>
      <c r="D23" s="3" t="s">
        <v>20</v>
      </c>
      <c r="E23" s="12">
        <f>E22*0.7</f>
        <v>567</v>
      </c>
      <c r="F23" s="12">
        <f t="shared" si="10"/>
        <v>623.7</v>
      </c>
      <c r="G23" s="12">
        <f t="shared" ref="G23:M23" si="12">F23*1.1</f>
        <v>686.07</v>
      </c>
      <c r="H23" s="12">
        <f t="shared" si="12"/>
        <v>754.677</v>
      </c>
      <c r="I23" s="12">
        <f t="shared" si="12"/>
        <v>830.1447</v>
      </c>
      <c r="J23" s="12">
        <f t="shared" si="12"/>
        <v>913.15917</v>
      </c>
      <c r="K23" s="12">
        <f t="shared" si="12"/>
        <v>1004.475087</v>
      </c>
      <c r="L23" s="12">
        <f t="shared" si="12"/>
        <v>1104.9225957</v>
      </c>
      <c r="M23" s="12">
        <f t="shared" si="12"/>
        <v>1215.41485527</v>
      </c>
      <c r="N23" s="10">
        <f t="shared" si="6"/>
        <v>1336.956340797</v>
      </c>
      <c r="O23" s="10">
        <f t="shared" si="8"/>
        <v>1470.6519748767</v>
      </c>
      <c r="P23" s="10">
        <f t="shared" si="9"/>
        <v>1617.71717236437</v>
      </c>
      <c r="Q23" s="10">
        <f t="shared" si="4"/>
        <v>1779.48888960081</v>
      </c>
    </row>
    <row r="24" ht="25" customHeight="1" spans="1:17">
      <c r="A24" s="1">
        <v>20</v>
      </c>
      <c r="B24" s="7"/>
      <c r="C24" s="2" t="s">
        <v>40</v>
      </c>
      <c r="D24" s="3" t="s">
        <v>20</v>
      </c>
      <c r="E24" s="12">
        <f>E22*0.85</f>
        <v>688.5</v>
      </c>
      <c r="F24" s="12">
        <f t="shared" si="10"/>
        <v>757.35</v>
      </c>
      <c r="G24" s="12">
        <f t="shared" ref="G24:M24" si="13">F24*1.1</f>
        <v>833.085</v>
      </c>
      <c r="H24" s="12">
        <f t="shared" si="13"/>
        <v>916.3935</v>
      </c>
      <c r="I24" s="12">
        <f t="shared" si="13"/>
        <v>1008.03285</v>
      </c>
      <c r="J24" s="12">
        <f t="shared" si="13"/>
        <v>1108.836135</v>
      </c>
      <c r="K24" s="12">
        <f t="shared" si="13"/>
        <v>1219.7197485</v>
      </c>
      <c r="L24" s="12">
        <f t="shared" si="13"/>
        <v>1341.69172335</v>
      </c>
      <c r="M24" s="12">
        <f t="shared" si="13"/>
        <v>1475.860895685</v>
      </c>
      <c r="N24" s="10">
        <f t="shared" si="6"/>
        <v>1623.4469852535</v>
      </c>
      <c r="O24" s="10">
        <f t="shared" si="8"/>
        <v>1785.79168377885</v>
      </c>
      <c r="P24" s="10">
        <f t="shared" si="9"/>
        <v>1964.37085215674</v>
      </c>
      <c r="Q24" s="10">
        <f t="shared" si="4"/>
        <v>2160.80793737241</v>
      </c>
    </row>
    <row r="25" ht="25" customHeight="1" spans="1:17">
      <c r="A25" s="1">
        <v>21</v>
      </c>
      <c r="B25" s="7"/>
      <c r="C25" s="2" t="s">
        <v>41</v>
      </c>
      <c r="D25" s="3" t="s">
        <v>20</v>
      </c>
      <c r="E25" s="12">
        <f>E22</f>
        <v>810</v>
      </c>
      <c r="F25" s="12">
        <f t="shared" si="10"/>
        <v>891</v>
      </c>
      <c r="G25" s="12">
        <f t="shared" ref="G25:M25" si="14">F25*1.1</f>
        <v>980.1</v>
      </c>
      <c r="H25" s="12">
        <f t="shared" si="14"/>
        <v>1078.11</v>
      </c>
      <c r="I25" s="12">
        <f t="shared" si="14"/>
        <v>1185.921</v>
      </c>
      <c r="J25" s="12">
        <f t="shared" si="14"/>
        <v>1304.5131</v>
      </c>
      <c r="K25" s="12">
        <f t="shared" si="14"/>
        <v>1434.96441</v>
      </c>
      <c r="L25" s="12">
        <f t="shared" si="14"/>
        <v>1578.460851</v>
      </c>
      <c r="M25" s="12">
        <f t="shared" si="14"/>
        <v>1736.3069361</v>
      </c>
      <c r="N25" s="10">
        <f t="shared" si="6"/>
        <v>1909.93762971</v>
      </c>
      <c r="O25" s="10">
        <f t="shared" si="8"/>
        <v>2100.931392681</v>
      </c>
      <c r="P25" s="10">
        <f t="shared" si="9"/>
        <v>2311.0245319491</v>
      </c>
      <c r="Q25" s="10">
        <f t="shared" si="4"/>
        <v>2542.12698514401</v>
      </c>
    </row>
    <row r="26" ht="25" customHeight="1" spans="1:17">
      <c r="A26" s="1">
        <v>22</v>
      </c>
      <c r="B26" s="7"/>
      <c r="C26" s="2" t="s">
        <v>42</v>
      </c>
      <c r="D26" s="3" t="s">
        <v>20</v>
      </c>
      <c r="E26" s="12">
        <f>E25*0.7</f>
        <v>567</v>
      </c>
      <c r="F26" s="12">
        <f t="shared" si="10"/>
        <v>623.7</v>
      </c>
      <c r="G26" s="12">
        <f t="shared" ref="G26:M26" si="15">F26*1.1</f>
        <v>686.07</v>
      </c>
      <c r="H26" s="12">
        <f t="shared" si="15"/>
        <v>754.677</v>
      </c>
      <c r="I26" s="12">
        <f t="shared" si="15"/>
        <v>830.1447</v>
      </c>
      <c r="J26" s="12">
        <f t="shared" si="15"/>
        <v>913.15917</v>
      </c>
      <c r="K26" s="12">
        <f t="shared" si="15"/>
        <v>1004.475087</v>
      </c>
      <c r="L26" s="12">
        <f t="shared" si="15"/>
        <v>1104.9225957</v>
      </c>
      <c r="M26" s="12">
        <f t="shared" si="15"/>
        <v>1215.41485527</v>
      </c>
      <c r="N26" s="10">
        <f t="shared" si="6"/>
        <v>1336.956340797</v>
      </c>
      <c r="O26" s="10">
        <f t="shared" si="8"/>
        <v>1470.6519748767</v>
      </c>
      <c r="P26" s="10">
        <f t="shared" si="9"/>
        <v>1617.71717236437</v>
      </c>
      <c r="Q26" s="10">
        <f t="shared" si="4"/>
        <v>1779.48888960081</v>
      </c>
    </row>
    <row r="27" ht="25" customHeight="1" spans="1:17">
      <c r="A27" s="1">
        <v>23</v>
      </c>
      <c r="B27" s="7"/>
      <c r="C27" s="2" t="s">
        <v>43</v>
      </c>
      <c r="D27" s="3" t="s">
        <v>20</v>
      </c>
      <c r="E27" s="12">
        <f>E25*0.85</f>
        <v>688.5</v>
      </c>
      <c r="F27" s="12">
        <f t="shared" si="10"/>
        <v>757.35</v>
      </c>
      <c r="G27" s="12">
        <f t="shared" ref="G27:M27" si="16">F27*1.1</f>
        <v>833.085</v>
      </c>
      <c r="H27" s="12">
        <f t="shared" si="16"/>
        <v>916.3935</v>
      </c>
      <c r="I27" s="12">
        <f t="shared" si="16"/>
        <v>1008.03285</v>
      </c>
      <c r="J27" s="12">
        <f t="shared" si="16"/>
        <v>1108.836135</v>
      </c>
      <c r="K27" s="12">
        <f t="shared" si="16"/>
        <v>1219.7197485</v>
      </c>
      <c r="L27" s="12">
        <f t="shared" si="16"/>
        <v>1341.69172335</v>
      </c>
      <c r="M27" s="12">
        <f t="shared" si="16"/>
        <v>1475.860895685</v>
      </c>
      <c r="N27" s="10">
        <f t="shared" si="6"/>
        <v>1623.4469852535</v>
      </c>
      <c r="O27" s="10">
        <f t="shared" si="8"/>
        <v>1785.79168377885</v>
      </c>
      <c r="P27" s="10">
        <f t="shared" si="9"/>
        <v>1964.37085215674</v>
      </c>
      <c r="Q27" s="10">
        <f t="shared" si="4"/>
        <v>2160.80793737241</v>
      </c>
    </row>
    <row r="28" ht="25" customHeight="1" spans="1:17">
      <c r="A28" s="1">
        <v>24</v>
      </c>
      <c r="B28" s="7"/>
      <c r="C28" s="2" t="s">
        <v>44</v>
      </c>
      <c r="D28" s="3" t="s">
        <v>20</v>
      </c>
      <c r="E28" s="12">
        <f>E3*1.35</f>
        <v>1296</v>
      </c>
      <c r="F28" s="12">
        <f t="shared" ref="F28:N49" si="17">E28*1.1</f>
        <v>1425.6</v>
      </c>
      <c r="G28" s="12">
        <f t="shared" si="17"/>
        <v>1568.16</v>
      </c>
      <c r="H28" s="12">
        <f t="shared" si="17"/>
        <v>1724.976</v>
      </c>
      <c r="I28" s="12">
        <f t="shared" si="17"/>
        <v>1897.4736</v>
      </c>
      <c r="J28" s="12">
        <f t="shared" si="17"/>
        <v>2087.22096</v>
      </c>
      <c r="K28" s="12">
        <f t="shared" si="17"/>
        <v>2295.943056</v>
      </c>
      <c r="L28" s="12">
        <f t="shared" si="17"/>
        <v>2525.5373616</v>
      </c>
      <c r="M28" s="12">
        <f t="shared" si="17"/>
        <v>2778.09109776</v>
      </c>
      <c r="N28" s="10">
        <f t="shared" si="6"/>
        <v>3055.900207536</v>
      </c>
      <c r="O28" s="10">
        <f t="shared" si="8"/>
        <v>3361.4902282896</v>
      </c>
      <c r="P28" s="10">
        <f t="shared" si="9"/>
        <v>3697.63925111856</v>
      </c>
      <c r="Q28" s="10">
        <f t="shared" si="4"/>
        <v>4067.40317623042</v>
      </c>
    </row>
    <row r="29" ht="25" customHeight="1" spans="1:17">
      <c r="A29" s="1">
        <v>25</v>
      </c>
      <c r="B29" s="7"/>
      <c r="C29" s="2" t="s">
        <v>45</v>
      </c>
      <c r="D29" s="3" t="s">
        <v>20</v>
      </c>
      <c r="E29" s="12">
        <f>E28*0.7</f>
        <v>907.2</v>
      </c>
      <c r="F29" s="12">
        <f t="shared" si="17"/>
        <v>997.92</v>
      </c>
      <c r="G29" s="12">
        <f t="shared" ref="G29:M29" si="18">G28*0.7</f>
        <v>1097.712</v>
      </c>
      <c r="H29" s="12">
        <f t="shared" si="18"/>
        <v>1207.4832</v>
      </c>
      <c r="I29" s="12">
        <f t="shared" si="18"/>
        <v>1328.23152</v>
      </c>
      <c r="J29" s="12">
        <f t="shared" si="18"/>
        <v>1461.054672</v>
      </c>
      <c r="K29" s="12">
        <f t="shared" si="18"/>
        <v>1607.1601392</v>
      </c>
      <c r="L29" s="12">
        <f t="shared" si="18"/>
        <v>1767.87615312</v>
      </c>
      <c r="M29" s="12">
        <f t="shared" si="18"/>
        <v>1944.663768432</v>
      </c>
      <c r="N29" s="10">
        <f t="shared" si="6"/>
        <v>2139.1301452752</v>
      </c>
      <c r="O29" s="10">
        <f t="shared" si="8"/>
        <v>2353.04315980272</v>
      </c>
      <c r="P29" s="10">
        <f t="shared" si="9"/>
        <v>2588.34747578299</v>
      </c>
      <c r="Q29" s="10">
        <f t="shared" si="4"/>
        <v>2847.18222336129</v>
      </c>
    </row>
    <row r="30" ht="25" customHeight="1" spans="1:17">
      <c r="A30" s="1">
        <v>26</v>
      </c>
      <c r="B30" s="7"/>
      <c r="C30" s="2" t="s">
        <v>46</v>
      </c>
      <c r="D30" s="3" t="s">
        <v>20</v>
      </c>
      <c r="E30" s="12">
        <f>E28*0.85</f>
        <v>1101.6</v>
      </c>
      <c r="F30" s="12">
        <f t="shared" si="17"/>
        <v>1211.76</v>
      </c>
      <c r="G30" s="12">
        <f t="shared" si="17"/>
        <v>1332.936</v>
      </c>
      <c r="H30" s="12">
        <f t="shared" si="17"/>
        <v>1466.2296</v>
      </c>
      <c r="I30" s="12">
        <f t="shared" si="17"/>
        <v>1612.85256</v>
      </c>
      <c r="J30" s="12">
        <f t="shared" si="17"/>
        <v>1774.137816</v>
      </c>
      <c r="K30" s="12">
        <f t="shared" si="17"/>
        <v>1951.5515976</v>
      </c>
      <c r="L30" s="12">
        <f t="shared" si="17"/>
        <v>2146.70675736</v>
      </c>
      <c r="M30" s="12">
        <f t="shared" si="17"/>
        <v>2361.377433096</v>
      </c>
      <c r="N30" s="10">
        <f t="shared" si="6"/>
        <v>2597.5151764056</v>
      </c>
      <c r="O30" s="10">
        <f t="shared" si="8"/>
        <v>2857.26669404616</v>
      </c>
      <c r="P30" s="10">
        <f t="shared" si="9"/>
        <v>3142.99336345078</v>
      </c>
      <c r="Q30" s="10">
        <f t="shared" si="4"/>
        <v>3457.29269979586</v>
      </c>
    </row>
    <row r="31" ht="25" customHeight="1" spans="1:17">
      <c r="A31" s="1">
        <v>27</v>
      </c>
      <c r="B31" s="7"/>
      <c r="C31" s="14" t="s">
        <v>47</v>
      </c>
      <c r="D31" s="3" t="s">
        <v>20</v>
      </c>
      <c r="E31" s="12">
        <f>E3*1.35</f>
        <v>1296</v>
      </c>
      <c r="F31" s="12">
        <f t="shared" si="17"/>
        <v>1425.6</v>
      </c>
      <c r="G31" s="12">
        <f t="shared" si="17"/>
        <v>1568.16</v>
      </c>
      <c r="H31" s="12">
        <f t="shared" si="17"/>
        <v>1724.976</v>
      </c>
      <c r="I31" s="12">
        <f t="shared" si="17"/>
        <v>1897.4736</v>
      </c>
      <c r="J31" s="12">
        <f t="shared" si="17"/>
        <v>2087.22096</v>
      </c>
      <c r="K31" s="12">
        <f t="shared" si="17"/>
        <v>2295.943056</v>
      </c>
      <c r="L31" s="12">
        <f t="shared" si="17"/>
        <v>2525.5373616</v>
      </c>
      <c r="M31" s="12">
        <f t="shared" si="17"/>
        <v>2778.09109776</v>
      </c>
      <c r="N31" s="10">
        <f t="shared" si="6"/>
        <v>3055.900207536</v>
      </c>
      <c r="O31" s="10">
        <f t="shared" si="8"/>
        <v>3361.4902282896</v>
      </c>
      <c r="P31" s="10">
        <f t="shared" si="9"/>
        <v>3697.63925111856</v>
      </c>
      <c r="Q31" s="10">
        <f t="shared" si="4"/>
        <v>4067.40317623042</v>
      </c>
    </row>
    <row r="32" ht="25" customHeight="1" spans="1:17">
      <c r="A32" s="1">
        <v>28</v>
      </c>
      <c r="B32" s="7"/>
      <c r="C32" s="14" t="s">
        <v>48</v>
      </c>
      <c r="D32" s="3" t="s">
        <v>20</v>
      </c>
      <c r="E32" s="12">
        <f>E31*0.7</f>
        <v>907.2</v>
      </c>
      <c r="F32" s="12">
        <f t="shared" si="17"/>
        <v>997.92</v>
      </c>
      <c r="G32" s="12">
        <f t="shared" si="17"/>
        <v>1097.712</v>
      </c>
      <c r="H32" s="12">
        <f t="shared" si="17"/>
        <v>1207.4832</v>
      </c>
      <c r="I32" s="12">
        <f t="shared" si="17"/>
        <v>1328.23152</v>
      </c>
      <c r="J32" s="12">
        <f t="shared" si="17"/>
        <v>1461.054672</v>
      </c>
      <c r="K32" s="12">
        <f t="shared" si="17"/>
        <v>1607.1601392</v>
      </c>
      <c r="L32" s="12">
        <f t="shared" si="17"/>
        <v>1767.87615312</v>
      </c>
      <c r="M32" s="12">
        <f t="shared" si="17"/>
        <v>1944.663768432</v>
      </c>
      <c r="N32" s="10">
        <f t="shared" si="6"/>
        <v>2139.1301452752</v>
      </c>
      <c r="O32" s="10">
        <f t="shared" si="8"/>
        <v>2353.04315980272</v>
      </c>
      <c r="P32" s="10">
        <f t="shared" si="9"/>
        <v>2588.34747578299</v>
      </c>
      <c r="Q32" s="10">
        <f t="shared" si="4"/>
        <v>2847.18222336129</v>
      </c>
    </row>
    <row r="33" ht="25" customHeight="1" spans="1:17">
      <c r="A33" s="1">
        <v>29</v>
      </c>
      <c r="B33" s="7"/>
      <c r="C33" s="14" t="s">
        <v>49</v>
      </c>
      <c r="D33" s="3" t="s">
        <v>20</v>
      </c>
      <c r="E33" s="12">
        <f>E31*0.85</f>
        <v>1101.6</v>
      </c>
      <c r="F33" s="12">
        <f t="shared" si="17"/>
        <v>1211.76</v>
      </c>
      <c r="G33" s="12">
        <f t="shared" si="17"/>
        <v>1332.936</v>
      </c>
      <c r="H33" s="12">
        <f t="shared" si="17"/>
        <v>1466.2296</v>
      </c>
      <c r="I33" s="12">
        <f t="shared" si="17"/>
        <v>1612.85256</v>
      </c>
      <c r="J33" s="12">
        <f t="shared" si="17"/>
        <v>1774.137816</v>
      </c>
      <c r="K33" s="12">
        <f t="shared" si="17"/>
        <v>1951.5515976</v>
      </c>
      <c r="L33" s="12">
        <f t="shared" si="17"/>
        <v>2146.70675736</v>
      </c>
      <c r="M33" s="12">
        <f t="shared" si="17"/>
        <v>2361.377433096</v>
      </c>
      <c r="N33" s="10">
        <f t="shared" si="6"/>
        <v>2597.5151764056</v>
      </c>
      <c r="O33" s="10">
        <f t="shared" si="8"/>
        <v>2857.26669404616</v>
      </c>
      <c r="P33" s="10">
        <f t="shared" si="9"/>
        <v>3142.99336345078</v>
      </c>
      <c r="Q33" s="10">
        <f t="shared" si="4"/>
        <v>3457.29269979586</v>
      </c>
    </row>
    <row r="34" ht="25" customHeight="1" spans="1:17">
      <c r="A34" s="1">
        <v>30</v>
      </c>
      <c r="B34" s="7"/>
      <c r="C34" s="2" t="s">
        <v>50</v>
      </c>
      <c r="D34" s="3" t="s">
        <v>20</v>
      </c>
      <c r="E34" s="12">
        <f>E3*1.2</f>
        <v>1152</v>
      </c>
      <c r="F34" s="12">
        <f t="shared" si="17"/>
        <v>1267.2</v>
      </c>
      <c r="G34" s="12">
        <f t="shared" si="17"/>
        <v>1393.92</v>
      </c>
      <c r="H34" s="12">
        <f t="shared" si="17"/>
        <v>1533.312</v>
      </c>
      <c r="I34" s="12">
        <f t="shared" si="17"/>
        <v>1686.6432</v>
      </c>
      <c r="J34" s="12">
        <f t="shared" si="17"/>
        <v>1855.30752</v>
      </c>
      <c r="K34" s="12">
        <f t="shared" si="17"/>
        <v>2040.838272</v>
      </c>
      <c r="L34" s="12">
        <f t="shared" si="17"/>
        <v>2244.9220992</v>
      </c>
      <c r="M34" s="12">
        <f t="shared" si="17"/>
        <v>2469.41430912</v>
      </c>
      <c r="N34" s="10">
        <f t="shared" si="6"/>
        <v>2716.355740032</v>
      </c>
      <c r="O34" s="10">
        <f t="shared" ref="O34:O49" si="19">N34*1.1</f>
        <v>2987.9913140352</v>
      </c>
      <c r="P34" s="10">
        <f t="shared" si="9"/>
        <v>3286.79044543872</v>
      </c>
      <c r="Q34" s="10">
        <f t="shared" si="4"/>
        <v>3615.46948998259</v>
      </c>
    </row>
    <row r="35" ht="25" customHeight="1" spans="1:17">
      <c r="A35" s="1">
        <v>31</v>
      </c>
      <c r="B35" s="7"/>
      <c r="C35" s="2" t="s">
        <v>51</v>
      </c>
      <c r="D35" s="3" t="s">
        <v>20</v>
      </c>
      <c r="E35" s="12">
        <f>E34*0.7</f>
        <v>806.4</v>
      </c>
      <c r="F35" s="12">
        <f t="shared" si="17"/>
        <v>887.04</v>
      </c>
      <c r="G35" s="12">
        <f t="shared" si="17"/>
        <v>975.744</v>
      </c>
      <c r="H35" s="12">
        <f t="shared" si="17"/>
        <v>1073.3184</v>
      </c>
      <c r="I35" s="12">
        <f t="shared" si="17"/>
        <v>1180.65024</v>
      </c>
      <c r="J35" s="12">
        <f t="shared" si="17"/>
        <v>1298.715264</v>
      </c>
      <c r="K35" s="12">
        <f t="shared" si="17"/>
        <v>1428.5867904</v>
      </c>
      <c r="L35" s="12">
        <f t="shared" si="17"/>
        <v>1571.44546944</v>
      </c>
      <c r="M35" s="12">
        <f t="shared" si="17"/>
        <v>1728.590016384</v>
      </c>
      <c r="N35" s="10">
        <f t="shared" si="17"/>
        <v>1901.4490180224</v>
      </c>
      <c r="O35" s="10">
        <f t="shared" si="19"/>
        <v>2091.59391982464</v>
      </c>
      <c r="P35" s="10">
        <f t="shared" si="9"/>
        <v>2300.75331180711</v>
      </c>
      <c r="Q35" s="10">
        <f t="shared" si="4"/>
        <v>2530.82864298782</v>
      </c>
    </row>
    <row r="36" ht="25" customHeight="1" spans="1:17">
      <c r="A36" s="1">
        <v>32</v>
      </c>
      <c r="B36" s="7"/>
      <c r="C36" s="2" t="s">
        <v>52</v>
      </c>
      <c r="D36" s="3" t="s">
        <v>20</v>
      </c>
      <c r="E36" s="12">
        <f>E34*0.85</f>
        <v>979.2</v>
      </c>
      <c r="F36" s="12">
        <f t="shared" si="17"/>
        <v>1077.12</v>
      </c>
      <c r="G36" s="12">
        <f t="shared" si="17"/>
        <v>1184.832</v>
      </c>
      <c r="H36" s="12">
        <f t="shared" si="17"/>
        <v>1303.3152</v>
      </c>
      <c r="I36" s="12">
        <f t="shared" si="17"/>
        <v>1433.64672</v>
      </c>
      <c r="J36" s="12">
        <f t="shared" si="17"/>
        <v>1577.011392</v>
      </c>
      <c r="K36" s="12">
        <f t="shared" si="17"/>
        <v>1734.7125312</v>
      </c>
      <c r="L36" s="12">
        <f t="shared" si="17"/>
        <v>1908.18378432</v>
      </c>
      <c r="M36" s="12">
        <f t="shared" si="17"/>
        <v>2099.002162752</v>
      </c>
      <c r="N36" s="10">
        <f t="shared" si="17"/>
        <v>2308.9023790272</v>
      </c>
      <c r="O36" s="10">
        <f t="shared" si="19"/>
        <v>2539.79261692992</v>
      </c>
      <c r="P36" s="10">
        <f t="shared" si="9"/>
        <v>2793.77187862291</v>
      </c>
      <c r="Q36" s="10">
        <f t="shared" si="4"/>
        <v>3073.14906648521</v>
      </c>
    </row>
    <row r="37" ht="25" customHeight="1" spans="1:17">
      <c r="A37" s="1">
        <v>33</v>
      </c>
      <c r="B37" s="7"/>
      <c r="C37" s="2" t="s">
        <v>53</v>
      </c>
      <c r="D37" s="3" t="s">
        <v>20</v>
      </c>
      <c r="E37" s="12">
        <f>E3*1.2</f>
        <v>1152</v>
      </c>
      <c r="F37" s="12">
        <f t="shared" si="17"/>
        <v>1267.2</v>
      </c>
      <c r="G37" s="12">
        <f t="shared" si="17"/>
        <v>1393.92</v>
      </c>
      <c r="H37" s="12">
        <f t="shared" si="17"/>
        <v>1533.312</v>
      </c>
      <c r="I37" s="12">
        <f t="shared" si="17"/>
        <v>1686.6432</v>
      </c>
      <c r="J37" s="12">
        <f t="shared" si="17"/>
        <v>1855.30752</v>
      </c>
      <c r="K37" s="12">
        <f t="shared" si="17"/>
        <v>2040.838272</v>
      </c>
      <c r="L37" s="12">
        <f t="shared" si="17"/>
        <v>2244.9220992</v>
      </c>
      <c r="M37" s="12">
        <f t="shared" si="17"/>
        <v>2469.41430912</v>
      </c>
      <c r="N37" s="10">
        <f t="shared" si="17"/>
        <v>2716.355740032</v>
      </c>
      <c r="O37" s="10">
        <f t="shared" si="19"/>
        <v>2987.9913140352</v>
      </c>
      <c r="P37" s="10">
        <f t="shared" si="9"/>
        <v>3286.79044543872</v>
      </c>
      <c r="Q37" s="10">
        <f t="shared" si="4"/>
        <v>3615.46948998259</v>
      </c>
    </row>
    <row r="38" ht="25" customHeight="1" spans="1:17">
      <c r="A38" s="1">
        <v>34</v>
      </c>
      <c r="B38" s="7"/>
      <c r="C38" s="2" t="s">
        <v>54</v>
      </c>
      <c r="D38" s="3" t="s">
        <v>20</v>
      </c>
      <c r="E38" s="12">
        <f>E37*0.7</f>
        <v>806.4</v>
      </c>
      <c r="F38" s="12">
        <f t="shared" si="17"/>
        <v>887.04</v>
      </c>
      <c r="G38" s="12">
        <f t="shared" si="17"/>
        <v>975.744</v>
      </c>
      <c r="H38" s="12">
        <f t="shared" si="17"/>
        <v>1073.3184</v>
      </c>
      <c r="I38" s="12">
        <f t="shared" si="17"/>
        <v>1180.65024</v>
      </c>
      <c r="J38" s="12">
        <f t="shared" si="17"/>
        <v>1298.715264</v>
      </c>
      <c r="K38" s="12">
        <f t="shared" si="17"/>
        <v>1428.5867904</v>
      </c>
      <c r="L38" s="12">
        <f t="shared" si="17"/>
        <v>1571.44546944</v>
      </c>
      <c r="M38" s="12">
        <f t="shared" si="17"/>
        <v>1728.590016384</v>
      </c>
      <c r="N38" s="10">
        <f t="shared" si="17"/>
        <v>1901.4490180224</v>
      </c>
      <c r="O38" s="10">
        <f t="shared" si="19"/>
        <v>2091.59391982464</v>
      </c>
      <c r="P38" s="10">
        <f t="shared" si="9"/>
        <v>2300.75331180711</v>
      </c>
      <c r="Q38" s="10">
        <f t="shared" si="4"/>
        <v>2530.82864298782</v>
      </c>
    </row>
    <row r="39" ht="25" customHeight="1" spans="1:17">
      <c r="A39" s="1">
        <v>35</v>
      </c>
      <c r="B39" s="7"/>
      <c r="C39" s="2" t="s">
        <v>55</v>
      </c>
      <c r="D39" s="3" t="s">
        <v>20</v>
      </c>
      <c r="E39" s="12">
        <f>E37*0.85</f>
        <v>979.2</v>
      </c>
      <c r="F39" s="12">
        <f t="shared" si="17"/>
        <v>1077.12</v>
      </c>
      <c r="G39" s="12">
        <f t="shared" si="17"/>
        <v>1184.832</v>
      </c>
      <c r="H39" s="12">
        <f t="shared" si="17"/>
        <v>1303.3152</v>
      </c>
      <c r="I39" s="12">
        <f t="shared" si="17"/>
        <v>1433.64672</v>
      </c>
      <c r="J39" s="12">
        <f t="shared" si="17"/>
        <v>1577.011392</v>
      </c>
      <c r="K39" s="12">
        <f t="shared" si="17"/>
        <v>1734.7125312</v>
      </c>
      <c r="L39" s="12">
        <f t="shared" si="17"/>
        <v>1908.18378432</v>
      </c>
      <c r="M39" s="12">
        <f t="shared" si="17"/>
        <v>2099.002162752</v>
      </c>
      <c r="N39" s="10">
        <f t="shared" si="17"/>
        <v>2308.9023790272</v>
      </c>
      <c r="O39" s="10">
        <f t="shared" si="19"/>
        <v>2539.79261692992</v>
      </c>
      <c r="P39" s="10">
        <f t="shared" si="9"/>
        <v>2793.77187862291</v>
      </c>
      <c r="Q39" s="10">
        <f t="shared" si="4"/>
        <v>3073.14906648521</v>
      </c>
    </row>
    <row r="40" ht="25" customHeight="1" spans="1:17">
      <c r="A40" s="1">
        <v>36</v>
      </c>
      <c r="B40" s="7"/>
      <c r="C40" s="2" t="s">
        <v>56</v>
      </c>
      <c r="D40" s="3" t="s">
        <v>20</v>
      </c>
      <c r="E40" s="12">
        <f>E3*0.8</f>
        <v>768</v>
      </c>
      <c r="F40" s="12">
        <f t="shared" si="17"/>
        <v>844.8</v>
      </c>
      <c r="G40" s="12">
        <f t="shared" si="17"/>
        <v>929.28</v>
      </c>
      <c r="H40" s="12">
        <f t="shared" si="17"/>
        <v>1022.208</v>
      </c>
      <c r="I40" s="12">
        <f t="shared" si="17"/>
        <v>1124.4288</v>
      </c>
      <c r="J40" s="12">
        <f t="shared" si="17"/>
        <v>1236.87168</v>
      </c>
      <c r="K40" s="12">
        <f t="shared" si="17"/>
        <v>1360.558848</v>
      </c>
      <c r="L40" s="12">
        <f t="shared" si="17"/>
        <v>1496.6147328</v>
      </c>
      <c r="M40" s="12">
        <f t="shared" si="17"/>
        <v>1646.27620608</v>
      </c>
      <c r="N40" s="10">
        <f t="shared" si="17"/>
        <v>1810.903826688</v>
      </c>
      <c r="O40" s="10">
        <f t="shared" si="19"/>
        <v>1991.9942093568</v>
      </c>
      <c r="P40" s="10">
        <f t="shared" si="9"/>
        <v>2191.19363029248</v>
      </c>
      <c r="Q40" s="10">
        <f t="shared" si="4"/>
        <v>2410.31299332173</v>
      </c>
    </row>
    <row r="41" ht="25" customHeight="1" spans="1:17">
      <c r="A41" s="1">
        <v>37</v>
      </c>
      <c r="B41" s="7"/>
      <c r="C41" s="2" t="s">
        <v>57</v>
      </c>
      <c r="D41" s="3" t="s">
        <v>20</v>
      </c>
      <c r="E41" s="12">
        <f>E40*0.7</f>
        <v>537.6</v>
      </c>
      <c r="F41" s="12">
        <f t="shared" si="17"/>
        <v>591.36</v>
      </c>
      <c r="G41" s="12">
        <f t="shared" si="17"/>
        <v>650.496</v>
      </c>
      <c r="H41" s="12">
        <f t="shared" si="17"/>
        <v>715.5456</v>
      </c>
      <c r="I41" s="12">
        <f t="shared" si="17"/>
        <v>787.10016</v>
      </c>
      <c r="J41" s="12">
        <f t="shared" si="17"/>
        <v>865.810176</v>
      </c>
      <c r="K41" s="12">
        <f t="shared" si="17"/>
        <v>952.3911936</v>
      </c>
      <c r="L41" s="12">
        <f t="shared" si="17"/>
        <v>1047.63031296</v>
      </c>
      <c r="M41" s="12">
        <f t="shared" si="17"/>
        <v>1152.393344256</v>
      </c>
      <c r="N41" s="10">
        <f t="shared" si="17"/>
        <v>1267.6326786816</v>
      </c>
      <c r="O41" s="10">
        <f t="shared" si="19"/>
        <v>1394.39594654976</v>
      </c>
      <c r="P41" s="10">
        <f t="shared" si="9"/>
        <v>1533.83554120474</v>
      </c>
      <c r="Q41" s="10">
        <f t="shared" si="4"/>
        <v>1687.21909532521</v>
      </c>
    </row>
    <row r="42" ht="25" customHeight="1" spans="1:17">
      <c r="A42" s="1">
        <v>38</v>
      </c>
      <c r="B42" s="7"/>
      <c r="C42" s="2" t="s">
        <v>58</v>
      </c>
      <c r="D42" s="3" t="s">
        <v>20</v>
      </c>
      <c r="E42" s="12">
        <f>E40*0.85</f>
        <v>652.8</v>
      </c>
      <c r="F42" s="12">
        <f t="shared" si="17"/>
        <v>718.08</v>
      </c>
      <c r="G42" s="12">
        <f t="shared" si="17"/>
        <v>789.888</v>
      </c>
      <c r="H42" s="12">
        <f t="shared" si="17"/>
        <v>868.8768</v>
      </c>
      <c r="I42" s="12">
        <f t="shared" si="17"/>
        <v>955.76448</v>
      </c>
      <c r="J42" s="12">
        <f t="shared" si="17"/>
        <v>1051.340928</v>
      </c>
      <c r="K42" s="12">
        <f t="shared" si="17"/>
        <v>1156.4750208</v>
      </c>
      <c r="L42" s="12">
        <f t="shared" si="17"/>
        <v>1272.12252288</v>
      </c>
      <c r="M42" s="12">
        <f t="shared" si="17"/>
        <v>1399.334775168</v>
      </c>
      <c r="N42" s="10">
        <f t="shared" si="17"/>
        <v>1539.2682526848</v>
      </c>
      <c r="O42" s="10">
        <f t="shared" si="19"/>
        <v>1693.19507795328</v>
      </c>
      <c r="P42" s="10">
        <f t="shared" si="9"/>
        <v>1862.51458574861</v>
      </c>
      <c r="Q42" s="10">
        <f t="shared" si="4"/>
        <v>2048.76604432347</v>
      </c>
    </row>
    <row r="43" ht="25" customHeight="1" spans="1:17">
      <c r="A43" s="1">
        <v>39</v>
      </c>
      <c r="B43" s="7"/>
      <c r="C43" s="2" t="s">
        <v>59</v>
      </c>
      <c r="D43" s="3" t="s">
        <v>20</v>
      </c>
      <c r="E43" s="12">
        <f>E3*0.7</f>
        <v>672</v>
      </c>
      <c r="F43" s="12">
        <f t="shared" si="17"/>
        <v>739.2</v>
      </c>
      <c r="G43" s="12">
        <f t="shared" si="17"/>
        <v>813.12</v>
      </c>
      <c r="H43" s="12">
        <f t="shared" si="17"/>
        <v>894.432</v>
      </c>
      <c r="I43" s="12">
        <f t="shared" si="17"/>
        <v>983.8752</v>
      </c>
      <c r="J43" s="12">
        <f t="shared" si="17"/>
        <v>1082.26272</v>
      </c>
      <c r="K43" s="12">
        <f t="shared" si="17"/>
        <v>1190.488992</v>
      </c>
      <c r="L43" s="12">
        <f t="shared" si="17"/>
        <v>1309.5378912</v>
      </c>
      <c r="M43" s="12">
        <f t="shared" si="17"/>
        <v>1440.49168032</v>
      </c>
      <c r="N43" s="10">
        <f t="shared" si="17"/>
        <v>1584.540848352</v>
      </c>
      <c r="O43" s="10">
        <f t="shared" si="19"/>
        <v>1742.9949331872</v>
      </c>
      <c r="P43" s="10">
        <f t="shared" si="9"/>
        <v>1917.29442650592</v>
      </c>
      <c r="Q43" s="10">
        <f t="shared" si="4"/>
        <v>2109.02386915651</v>
      </c>
    </row>
    <row r="44" ht="25" customHeight="1" spans="1:17">
      <c r="A44" s="1">
        <v>40</v>
      </c>
      <c r="B44" s="7"/>
      <c r="C44" s="2" t="s">
        <v>60</v>
      </c>
      <c r="D44" s="3" t="s">
        <v>20</v>
      </c>
      <c r="E44" s="12">
        <f>E43*0.7</f>
        <v>470.4</v>
      </c>
      <c r="F44" s="12">
        <f t="shared" si="17"/>
        <v>517.44</v>
      </c>
      <c r="G44" s="12">
        <f t="shared" si="17"/>
        <v>569.184</v>
      </c>
      <c r="H44" s="12">
        <f t="shared" si="17"/>
        <v>626.1024</v>
      </c>
      <c r="I44" s="12">
        <f t="shared" si="17"/>
        <v>688.71264</v>
      </c>
      <c r="J44" s="12">
        <f t="shared" si="17"/>
        <v>757.583904</v>
      </c>
      <c r="K44" s="12">
        <f t="shared" si="17"/>
        <v>833.3422944</v>
      </c>
      <c r="L44" s="12">
        <f t="shared" si="17"/>
        <v>916.67652384</v>
      </c>
      <c r="M44" s="12">
        <f t="shared" si="17"/>
        <v>1008.344176224</v>
      </c>
      <c r="N44" s="10">
        <f t="shared" si="17"/>
        <v>1109.1785938464</v>
      </c>
      <c r="O44" s="10">
        <f t="shared" si="19"/>
        <v>1220.09645323104</v>
      </c>
      <c r="P44" s="10">
        <f t="shared" si="9"/>
        <v>1342.10609855415</v>
      </c>
      <c r="Q44" s="10">
        <f t="shared" si="4"/>
        <v>1476.31670840956</v>
      </c>
    </row>
    <row r="45" ht="25" customHeight="1" spans="1:17">
      <c r="A45" s="1">
        <v>41</v>
      </c>
      <c r="B45" s="7"/>
      <c r="C45" s="2" t="s">
        <v>61</v>
      </c>
      <c r="D45" s="3" t="s">
        <v>20</v>
      </c>
      <c r="E45" s="12">
        <f>E43*0.85</f>
        <v>571.2</v>
      </c>
      <c r="F45" s="12">
        <f t="shared" si="17"/>
        <v>628.32</v>
      </c>
      <c r="G45" s="12">
        <f t="shared" si="17"/>
        <v>691.152</v>
      </c>
      <c r="H45" s="12">
        <f t="shared" si="17"/>
        <v>760.2672</v>
      </c>
      <c r="I45" s="12">
        <f t="shared" si="17"/>
        <v>836.29392</v>
      </c>
      <c r="J45" s="12">
        <f t="shared" si="17"/>
        <v>919.923312</v>
      </c>
      <c r="K45" s="12">
        <f t="shared" si="17"/>
        <v>1011.9156432</v>
      </c>
      <c r="L45" s="12">
        <f t="shared" si="17"/>
        <v>1113.10720752</v>
      </c>
      <c r="M45" s="12">
        <f t="shared" si="17"/>
        <v>1224.417928272</v>
      </c>
      <c r="N45" s="10">
        <f t="shared" si="17"/>
        <v>1346.8597210992</v>
      </c>
      <c r="O45" s="10">
        <f t="shared" si="19"/>
        <v>1481.54569320912</v>
      </c>
      <c r="P45" s="10">
        <f t="shared" si="9"/>
        <v>1629.70026253003</v>
      </c>
      <c r="Q45" s="10">
        <f t="shared" si="4"/>
        <v>1792.67028878304</v>
      </c>
    </row>
    <row r="46" ht="25" customHeight="1" spans="1:17">
      <c r="A46" s="1">
        <v>42</v>
      </c>
      <c r="B46" s="7"/>
      <c r="C46" s="2" t="s">
        <v>62</v>
      </c>
      <c r="D46" s="3" t="s">
        <v>20</v>
      </c>
      <c r="E46" s="12">
        <f>E3*0.7</f>
        <v>672</v>
      </c>
      <c r="F46" s="12">
        <f t="shared" si="17"/>
        <v>739.2</v>
      </c>
      <c r="G46" s="12">
        <f t="shared" si="17"/>
        <v>813.12</v>
      </c>
      <c r="H46" s="12">
        <f t="shared" si="17"/>
        <v>894.432</v>
      </c>
      <c r="I46" s="12">
        <f t="shared" si="17"/>
        <v>983.8752</v>
      </c>
      <c r="J46" s="12">
        <f t="shared" si="17"/>
        <v>1082.26272</v>
      </c>
      <c r="K46" s="12">
        <f t="shared" si="17"/>
        <v>1190.488992</v>
      </c>
      <c r="L46" s="12">
        <f t="shared" si="17"/>
        <v>1309.5378912</v>
      </c>
      <c r="M46" s="12">
        <f t="shared" si="17"/>
        <v>1440.49168032</v>
      </c>
      <c r="N46" s="10">
        <f t="shared" si="17"/>
        <v>1584.540848352</v>
      </c>
      <c r="O46" s="10">
        <f t="shared" si="19"/>
        <v>1742.9949331872</v>
      </c>
      <c r="P46" s="10">
        <f t="shared" si="9"/>
        <v>1917.29442650592</v>
      </c>
      <c r="Q46" s="10">
        <f t="shared" si="4"/>
        <v>2109.02386915651</v>
      </c>
    </row>
    <row r="47" ht="25" customHeight="1" spans="1:17">
      <c r="A47" s="1">
        <v>43</v>
      </c>
      <c r="B47" s="7"/>
      <c r="C47" s="2" t="s">
        <v>63</v>
      </c>
      <c r="D47" s="3" t="s">
        <v>20</v>
      </c>
      <c r="E47" s="12">
        <f>E46*0.7</f>
        <v>470.4</v>
      </c>
      <c r="F47" s="12">
        <f t="shared" si="17"/>
        <v>517.44</v>
      </c>
      <c r="G47" s="12">
        <f t="shared" si="17"/>
        <v>569.184</v>
      </c>
      <c r="H47" s="12">
        <f t="shared" si="17"/>
        <v>626.1024</v>
      </c>
      <c r="I47" s="12">
        <f t="shared" si="17"/>
        <v>688.71264</v>
      </c>
      <c r="J47" s="12">
        <f t="shared" si="17"/>
        <v>757.583904</v>
      </c>
      <c r="K47" s="12">
        <f t="shared" si="17"/>
        <v>833.3422944</v>
      </c>
      <c r="L47" s="12">
        <f t="shared" si="17"/>
        <v>916.67652384</v>
      </c>
      <c r="M47" s="12">
        <f t="shared" si="17"/>
        <v>1008.344176224</v>
      </c>
      <c r="N47" s="10">
        <f t="shared" si="17"/>
        <v>1109.1785938464</v>
      </c>
      <c r="O47" s="10">
        <f t="shared" si="19"/>
        <v>1220.09645323104</v>
      </c>
      <c r="P47" s="10">
        <f t="shared" si="9"/>
        <v>1342.10609855415</v>
      </c>
      <c r="Q47" s="10">
        <f t="shared" si="4"/>
        <v>1476.31670840956</v>
      </c>
    </row>
    <row r="48" ht="25" customHeight="1" spans="1:17">
      <c r="A48" s="1">
        <v>44</v>
      </c>
      <c r="B48" s="7"/>
      <c r="C48" s="2" t="s">
        <v>64</v>
      </c>
      <c r="D48" s="3" t="s">
        <v>20</v>
      </c>
      <c r="E48" s="12">
        <f>E46*0.85</f>
        <v>571.2</v>
      </c>
      <c r="F48" s="12">
        <f t="shared" si="17"/>
        <v>628.32</v>
      </c>
      <c r="G48" s="12">
        <f t="shared" si="17"/>
        <v>691.152</v>
      </c>
      <c r="H48" s="12">
        <f t="shared" si="17"/>
        <v>760.2672</v>
      </c>
      <c r="I48" s="12">
        <f t="shared" si="17"/>
        <v>836.29392</v>
      </c>
      <c r="J48" s="12">
        <f t="shared" si="17"/>
        <v>919.923312</v>
      </c>
      <c r="K48" s="12">
        <f t="shared" si="17"/>
        <v>1011.9156432</v>
      </c>
      <c r="L48" s="12">
        <f t="shared" si="17"/>
        <v>1113.10720752</v>
      </c>
      <c r="M48" s="12">
        <f t="shared" si="17"/>
        <v>1224.417928272</v>
      </c>
      <c r="N48" s="10">
        <f t="shared" si="17"/>
        <v>1346.8597210992</v>
      </c>
      <c r="O48" s="10">
        <f t="shared" si="19"/>
        <v>1481.54569320912</v>
      </c>
      <c r="P48" s="10">
        <f t="shared" si="9"/>
        <v>1629.70026253003</v>
      </c>
      <c r="Q48" s="10">
        <f t="shared" si="4"/>
        <v>1792.67028878304</v>
      </c>
    </row>
    <row r="49" ht="25" customHeight="1" spans="1:20">
      <c r="A49" s="1">
        <v>45</v>
      </c>
      <c r="C49" s="2" t="s">
        <v>65</v>
      </c>
      <c r="D49" s="3" t="s">
        <v>20</v>
      </c>
      <c r="E49" s="12">
        <v>312</v>
      </c>
      <c r="F49" s="12">
        <f t="shared" si="17"/>
        <v>343.2</v>
      </c>
      <c r="G49" s="12">
        <f t="shared" si="17"/>
        <v>377.52</v>
      </c>
      <c r="H49" s="12">
        <f t="shared" si="17"/>
        <v>415.272</v>
      </c>
      <c r="I49" s="12">
        <f t="shared" si="17"/>
        <v>456.7992</v>
      </c>
      <c r="J49" s="12">
        <f t="shared" si="17"/>
        <v>502.47912</v>
      </c>
      <c r="K49" s="12">
        <f t="shared" si="17"/>
        <v>552.727032</v>
      </c>
      <c r="L49" s="12">
        <f t="shared" si="17"/>
        <v>607.9997352</v>
      </c>
      <c r="M49" s="12">
        <f t="shared" si="17"/>
        <v>668.799708720001</v>
      </c>
      <c r="N49" s="10">
        <f t="shared" si="17"/>
        <v>735.679679592001</v>
      </c>
      <c r="O49" s="10">
        <f t="shared" si="19"/>
        <v>809.247647551201</v>
      </c>
      <c r="P49" s="10">
        <f t="shared" si="9"/>
        <v>890.172412306321</v>
      </c>
      <c r="Q49" s="10">
        <f t="shared" si="4"/>
        <v>979.189653536953</v>
      </c>
      <c r="R49" s="15"/>
      <c r="S49" s="15"/>
      <c r="T49" s="15"/>
    </row>
    <row r="50" ht="25" customHeight="1"/>
    <row r="51" ht="25" customHeight="1"/>
    <row r="52" ht="25" customHeight="1" spans="1:20">
      <c r="E52" s="12"/>
      <c r="F52" s="12"/>
      <c r="G52" s="12"/>
      <c r="H52" s="12"/>
      <c r="I52" s="12"/>
      <c r="J52" s="12"/>
      <c r="K52" s="12"/>
      <c r="L52" s="12"/>
      <c r="M52" s="12"/>
      <c r="N52" s="12"/>
      <c r="S52" s="16"/>
    </row>
    <row r="53" ht="25" customHeight="1" spans="1:20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</row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</sheetData>
  <mergeCells count="7">
    <mergeCell ref="A1:Q1"/>
    <mergeCell ref="A2:A3"/>
    <mergeCell ref="B2:B3"/>
    <mergeCell ref="B4:B19"/>
    <mergeCell ref="B21:B48"/>
    <mergeCell ref="C2:C3"/>
    <mergeCell ref="D2:D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茶叶价格表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萌萌的提百万</cp:lastModifiedBy>
  <dcterms:created xsi:type="dcterms:W3CDTF">2017-12-18T13:04:00Z</dcterms:created>
  <cp:lastPrinted>2018-03-02T02:01:00Z</cp:lastPrinted>
  <dcterms:modified xsi:type="dcterms:W3CDTF">2026-08-08T08:22:46Z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62DA253FFD6D4D4A9723E3D8F9315CC3_13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